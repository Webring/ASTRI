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Михаил\Desktop\ASTRI\Docs\"/>
    </mc:Choice>
  </mc:AlternateContent>
  <bookViews>
    <workbookView xWindow="0" yWindow="0" windowWidth="16380" windowHeight="8190" tabRatio="500"/>
  </bookViews>
  <sheets>
    <sheet name="Лист1" sheetId="1" r:id="rId1"/>
  </sheets>
  <calcPr calcId="152511"/>
  <fileRecoveryPr repairLoad="1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17" i="1" l="1"/>
  <c r="C17" i="1"/>
  <c r="E17" i="1"/>
</calcChain>
</file>

<file path=xl/sharedStrings.xml><?xml version="1.0" encoding="utf-8"?>
<sst xmlns="http://schemas.openxmlformats.org/spreadsheetml/2006/main" count="21" uniqueCount="21">
  <si>
    <t>Наименование</t>
  </si>
  <si>
    <t>Количество,шт</t>
  </si>
  <si>
    <t>Розничная цена в России, руб</t>
  </si>
  <si>
    <t>Розничная цена в Китае, руб</t>
  </si>
  <si>
    <t>Оптовая цена в Китае, руб</t>
  </si>
  <si>
    <t>Итого:</t>
  </si>
  <si>
    <t>Arduino nano</t>
  </si>
  <si>
    <t>Wemos d1 mini</t>
  </si>
  <si>
    <t xml:space="preserve">Модуль SD карты </t>
  </si>
  <si>
    <t>SD карта</t>
  </si>
  <si>
    <t>Драйвер двигателя ULN2003</t>
  </si>
  <si>
    <t>Шаговый двигатель 28byj-48</t>
  </si>
  <si>
    <t>Модуль реального времени DS1307</t>
  </si>
  <si>
    <t>Сервопривод mg90s</t>
  </si>
  <si>
    <t>Пьезо-пищалка</t>
  </si>
  <si>
    <t>Дисплей Nextion</t>
  </si>
  <si>
    <t>Сенсорная кнопка TTP223</t>
  </si>
  <si>
    <t>Стилус</t>
  </si>
  <si>
    <t>Замок</t>
  </si>
  <si>
    <t>Переключатель</t>
  </si>
  <si>
    <t>Arduino mega 2560 pro mini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</si>
</sst>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/>
    </xf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tabSelected="1" zoomScaleNormal="100" workbookViewId="0">
      <pane ySplit="1" topLeftCell="A2" activePane="bottomLeft" state="frozen"/>
      <selection pane="bottomLeft" activeCell="C17" sqref="C17"/>
    </sheetView>
  </sheetViews>
  <sheetFormatPr defaultRowHeight="15" x14ac:dyDescent="0.25"/>
  <cols>
    <col min="1" max="1" width="34.28515625" bestFit="1" customWidth="1"/>
    <col min="2" max="2" width="14.85546875" customWidth="1"/>
    <col min="3" max="3" width="29" customWidth="1"/>
    <col min="4" max="4" width="27.5703125" customWidth="1"/>
    <col min="5" max="5" width="29.85546875" customWidth="1"/>
    <col min="6" max="1025" width="11.5703125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</row>
    <row r="2" spans="1:8" ht="21.75" customHeight="1" x14ac:dyDescent="0.25">
      <c r="A2" s="1" t="s">
        <v>20</v>
      </c>
      <c r="B2" s="1">
        <v>1</v>
      </c>
      <c r="C2" s="1">
        <v>1021</v>
      </c>
      <c r="D2" s="1">
        <v>468.5</v>
      </c>
      <c r="E2" s="1"/>
      <c r="F2" s="1"/>
      <c r="G2" s="1"/>
      <c r="H2" s="1"/>
    </row>
    <row r="3" spans="1:8" x14ac:dyDescent="0.25">
      <c r="A3" s="1" t="s">
        <v>6</v>
      </c>
      <c r="B3" s="1">
        <v>1</v>
      </c>
      <c r="C3" s="1">
        <v>284.05</v>
      </c>
      <c r="D3" s="1">
        <v>107.5</v>
      </c>
      <c r="E3" s="1"/>
      <c r="F3" s="1"/>
      <c r="G3" s="1"/>
      <c r="H3" s="1"/>
    </row>
    <row r="4" spans="1:8" x14ac:dyDescent="0.25">
      <c r="A4" s="1" t="s">
        <v>7</v>
      </c>
      <c r="B4" s="1">
        <v>1</v>
      </c>
      <c r="C4" s="1">
        <v>270.75799999999998</v>
      </c>
      <c r="D4" s="1">
        <v>119.35</v>
      </c>
      <c r="E4" s="1"/>
      <c r="F4" s="1"/>
      <c r="G4" s="1"/>
      <c r="H4" s="1"/>
    </row>
    <row r="5" spans="1:8" x14ac:dyDescent="0.25">
      <c r="A5" s="1" t="s">
        <v>15</v>
      </c>
      <c r="B5" s="1">
        <v>1</v>
      </c>
      <c r="C5" s="1">
        <v>2355</v>
      </c>
      <c r="D5" s="1">
        <v>800</v>
      </c>
      <c r="E5" s="1"/>
      <c r="F5" s="1"/>
      <c r="G5" s="1"/>
      <c r="H5" s="1"/>
    </row>
    <row r="6" spans="1:8" x14ac:dyDescent="0.25">
      <c r="A6" s="1" t="s">
        <v>8</v>
      </c>
      <c r="B6" s="1">
        <v>1</v>
      </c>
      <c r="C6" s="1">
        <v>89</v>
      </c>
      <c r="D6" s="1">
        <v>27.94</v>
      </c>
      <c r="E6" s="1"/>
      <c r="F6" s="1"/>
      <c r="G6" s="1"/>
      <c r="H6" s="1"/>
    </row>
    <row r="7" spans="1:8" x14ac:dyDescent="0.25">
      <c r="A7" s="1" t="s">
        <v>9</v>
      </c>
      <c r="B7" s="1">
        <v>1</v>
      </c>
      <c r="C7" s="1">
        <v>250</v>
      </c>
      <c r="D7" s="1">
        <v>83.8</v>
      </c>
      <c r="E7" s="1"/>
      <c r="F7" s="1"/>
      <c r="G7" s="1"/>
      <c r="H7" s="1"/>
    </row>
    <row r="8" spans="1:8" x14ac:dyDescent="0.25">
      <c r="A8" s="1" t="s">
        <v>11</v>
      </c>
      <c r="B8" s="1">
        <v>2</v>
      </c>
      <c r="C8" s="1">
        <v>240</v>
      </c>
      <c r="D8" s="1">
        <v>92.78</v>
      </c>
      <c r="E8" s="1"/>
      <c r="F8" s="1"/>
      <c r="G8" s="1"/>
      <c r="H8" s="1"/>
    </row>
    <row r="9" spans="1:8" x14ac:dyDescent="0.25">
      <c r="A9" s="1" t="s">
        <v>10</v>
      </c>
      <c r="B9" s="1">
        <v>2</v>
      </c>
      <c r="C9" s="1">
        <v>50</v>
      </c>
      <c r="D9" s="1">
        <v>32.380000000000003</v>
      </c>
      <c r="E9" s="1"/>
      <c r="F9" s="1"/>
      <c r="G9" s="1"/>
      <c r="H9" s="1"/>
    </row>
    <row r="10" spans="1:8" x14ac:dyDescent="0.25">
      <c r="A10" s="1" t="s">
        <v>12</v>
      </c>
      <c r="B10" s="1">
        <v>1</v>
      </c>
      <c r="C10" s="1">
        <v>97</v>
      </c>
      <c r="D10" s="1">
        <v>34.92</v>
      </c>
      <c r="E10" s="1"/>
      <c r="F10" s="1"/>
      <c r="G10" s="1"/>
      <c r="H10" s="1"/>
    </row>
    <row r="11" spans="1:8" x14ac:dyDescent="0.25">
      <c r="A11" s="1" t="s">
        <v>13</v>
      </c>
      <c r="B11" s="1">
        <v>1</v>
      </c>
      <c r="C11" s="1">
        <v>160</v>
      </c>
      <c r="D11" s="1">
        <v>124.56</v>
      </c>
      <c r="E11" s="1"/>
      <c r="F11" s="1"/>
      <c r="G11" s="1"/>
      <c r="H11" s="1"/>
    </row>
    <row r="12" spans="1:8" x14ac:dyDescent="0.25">
      <c r="A12" s="1" t="s">
        <v>14</v>
      </c>
      <c r="B12" s="1">
        <v>1</v>
      </c>
      <c r="C12" s="1">
        <v>50</v>
      </c>
      <c r="D12" s="1">
        <v>8.8000000000000007</v>
      </c>
      <c r="E12" s="1"/>
      <c r="F12" s="1"/>
      <c r="G12" s="1"/>
      <c r="H12" s="1"/>
    </row>
    <row r="13" spans="1:8" x14ac:dyDescent="0.25">
      <c r="A13" s="1" t="s">
        <v>16</v>
      </c>
      <c r="B13" s="1">
        <v>1</v>
      </c>
      <c r="C13" s="1">
        <v>25</v>
      </c>
      <c r="D13" s="1">
        <v>12</v>
      </c>
      <c r="E13" s="1"/>
      <c r="F13" s="1"/>
      <c r="G13" s="1"/>
      <c r="H13" s="1"/>
    </row>
    <row r="14" spans="1:8" x14ac:dyDescent="0.25">
      <c r="A14" s="1" t="s">
        <v>19</v>
      </c>
      <c r="B14" s="1">
        <v>1</v>
      </c>
      <c r="C14" s="1">
        <v>15</v>
      </c>
      <c r="D14" s="1">
        <v>3</v>
      </c>
      <c r="E14" s="1"/>
      <c r="F14" s="1"/>
      <c r="G14" s="1"/>
      <c r="H14" s="1"/>
    </row>
    <row r="15" spans="1:8" x14ac:dyDescent="0.25">
      <c r="A15" s="1" t="s">
        <v>18</v>
      </c>
      <c r="B15" s="1">
        <v>1</v>
      </c>
      <c r="C15" s="1">
        <v>92.2</v>
      </c>
      <c r="D15" s="1">
        <v>51.3</v>
      </c>
      <c r="F15" s="1"/>
      <c r="G15" s="1"/>
      <c r="H15" s="1"/>
    </row>
    <row r="16" spans="1:8" x14ac:dyDescent="0.25">
      <c r="A16" s="1" t="s">
        <v>17</v>
      </c>
      <c r="B16" s="1">
        <v>1</v>
      </c>
      <c r="C16" s="1">
        <v>137</v>
      </c>
      <c r="D16" s="1">
        <v>32.380000000000003</v>
      </c>
      <c r="G16" s="1"/>
      <c r="H16" s="1"/>
    </row>
    <row r="17" spans="1:8" x14ac:dyDescent="0.25">
      <c r="A17" s="2" t="s">
        <v>5</v>
      </c>
      <c r="B17" s="2"/>
      <c r="C17" s="1">
        <f ca="1">SUMPRODUCT(B2:INDIRECT(ADDRESS(ROW()-1,2)),C2:INDIRECT(ADDRESS(ROW()-1,3)))</f>
        <v>5426.0079999999998</v>
      </c>
      <c r="D17" s="1">
        <f ca="1">SUMPRODUCT(B2:INDIRECT(ADDRESS(ROW()-1,2)),D2:INDIRECT(ADDRESS(ROW()-1,4)))</f>
        <v>2124.37</v>
      </c>
      <c r="E17" s="1">
        <f ca="1">SUMPRODUCT(B2:INDIRECT(ADDRESS(ROW()-1,2)),E2:INDIRECT(ADDRESS(ROW()-1,5)))</f>
        <v>0</v>
      </c>
      <c r="G17" s="1"/>
      <c r="H17" s="1"/>
    </row>
    <row r="18" spans="1:8" x14ac:dyDescent="0.25">
      <c r="B18" s="1"/>
      <c r="G18" s="1"/>
      <c r="H18" s="1"/>
    </row>
    <row r="25" spans="1:8" x14ac:dyDescent="0.25">
      <c r="A25" s="1"/>
      <c r="B25" s="1"/>
      <c r="D25" s="1"/>
      <c r="E25" s="1"/>
      <c r="F25" s="1"/>
    </row>
  </sheetData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 r:id="rId1"/>
  <headerFooter>
    <oddHeader>&amp;C&amp;A</oddHeader>
    <oddFooter>&amp;CСтраница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Михаил</dc:creator>
  <dc:description/>
  <cp:lastModifiedBy>Михаил</cp:lastModifiedBy>
  <cp:revision>3</cp:revision>
  <dcterms:created xsi:type="dcterms:W3CDTF">2019-08-11T22:58:54Z</dcterms:created>
  <dcterms:modified xsi:type="dcterms:W3CDTF">2020-01-17T13:01:57Z</dcterms:modified>
  <dc:language>ru-RU</dc:language>
</cp:coreProperties>
</file>